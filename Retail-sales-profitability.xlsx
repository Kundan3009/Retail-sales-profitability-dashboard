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3a8d\AC\Temp\"/>
    </mc:Choice>
  </mc:AlternateContent>
  <xr:revisionPtr revIDLastSave="0" documentId="8_{EEE32397-7772-6545-ABDE-CF030B88E019}" xr6:coauthVersionLast="47" xr6:coauthVersionMax="47" xr10:uidLastSave="{00000000-0000-0000-0000-000000000000}"/>
  <bookViews>
    <workbookView xWindow="-60" yWindow="-60" windowWidth="15480" windowHeight="11640" activeTab="1" xr2:uid="{E3656562-95D3-491C-983E-DE96E22012C3}"/>
  </bookViews>
  <sheets>
    <sheet name="Sales_Data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10" i="2"/>
  <c r="I10" i="2" a="1"/>
  <c r="I11" i="2" a="1"/>
  <c r="I12" i="2" a="1"/>
  <c r="I9" i="2" a="1"/>
  <c r="C11" i="2"/>
  <c r="C12" i="2"/>
  <c r="C10" i="2"/>
  <c r="B11" i="2"/>
  <c r="B12" i="2"/>
  <c r="I4" i="2"/>
  <c r="G4" i="2"/>
  <c r="E4" i="2"/>
  <c r="A4" i="2"/>
  <c r="L3" i="1"/>
  <c r="L4" i="1"/>
  <c r="L5" i="1"/>
  <c r="L6" i="1"/>
  <c r="L7" i="1"/>
  <c r="L8" i="1"/>
  <c r="L9" i="1"/>
  <c r="L10" i="1"/>
  <c r="J3" i="1"/>
  <c r="J4" i="1"/>
  <c r="J5" i="1"/>
  <c r="J6" i="1"/>
  <c r="J7" i="1"/>
  <c r="J8" i="1"/>
  <c r="J9" i="1"/>
  <c r="J10" i="1"/>
  <c r="J11" i="1"/>
  <c r="J2" i="1"/>
  <c r="K2" i="1"/>
  <c r="L2" i="1"/>
  <c r="K3" i="1"/>
  <c r="K4" i="1"/>
  <c r="K5" i="1"/>
  <c r="K6" i="1"/>
  <c r="K7" i="1"/>
  <c r="K8" i="1"/>
  <c r="K9" i="1"/>
  <c r="K10" i="1"/>
  <c r="K11" i="1"/>
  <c r="L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<sst xmlns="http://schemas.openxmlformats.org/spreadsheetml/2006/main" count="91" uniqueCount="62">
  <si>
    <t>Order Date</t>
  </si>
  <si>
    <t>Order ID</t>
  </si>
  <si>
    <t>Region</t>
  </si>
  <si>
    <t>Category</t>
  </si>
  <si>
    <t>Product</t>
  </si>
  <si>
    <t>Customer Segment</t>
  </si>
  <si>
    <t>Quantity</t>
  </si>
  <si>
    <t>Unit Price</t>
  </si>
  <si>
    <t>Cost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</si>
  <si>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</si>
  <si>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</si>
  <si>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</si>
  <si>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</si>
  <si>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</si>
  <si>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</si>
  <si>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</si>
  <si>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</si>
  <si>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</si>
  <si>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</si>
  <si>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North</t>
  </si>
  <si>
    <t>South</t>
  </si>
  <si>
    <t xml:space="preserve">West </t>
  </si>
  <si>
    <t>East</t>
  </si>
  <si>
    <t>Electronics</t>
  </si>
  <si>
    <t>Accessories</t>
  </si>
  <si>
    <t>Furnitures</t>
  </si>
  <si>
    <t>Laptop</t>
  </si>
  <si>
    <t>Mouse</t>
  </si>
  <si>
    <t>Headphones</t>
  </si>
  <si>
    <t>Office Chair</t>
  </si>
  <si>
    <t>Monitor</t>
  </si>
  <si>
    <t>Keyboard</t>
  </si>
  <si>
    <t>Webcam</t>
  </si>
  <si>
    <t>Desk</t>
  </si>
  <si>
    <t>Consumer</t>
  </si>
  <si>
    <t>Corporate</t>
  </si>
  <si>
    <t>Sales</t>
  </si>
  <si>
    <t>Profit</t>
  </si>
  <si>
    <t>Profit Margin</t>
  </si>
  <si>
    <t>Retail Sales and Profitability Dashboard</t>
  </si>
  <si>
    <t>Total Sales</t>
  </si>
  <si>
    <t>Total Profit</t>
  </si>
  <si>
    <t>Total Orders</t>
  </si>
  <si>
    <t>Unit Sold</t>
  </si>
  <si>
    <t>Monthly Sales and Profit data</t>
  </si>
  <si>
    <t>Month</t>
  </si>
  <si>
    <t>January</t>
  </si>
  <si>
    <t>February</t>
  </si>
  <si>
    <t>March</t>
  </si>
  <si>
    <t xml:space="preserve">North </t>
  </si>
  <si>
    <t>West</t>
  </si>
  <si>
    <t>Sales by region</t>
  </si>
  <si>
    <t>KEY INSIGHTS</t>
  </si>
  <si>
    <t>Highest Sales Month</t>
  </si>
  <si>
    <t>Lowest Sales Month</t>
  </si>
  <si>
    <t>Highest Sales Region</t>
  </si>
  <si>
    <t>February — ₹208,200</t>
  </si>
  <si>
    <t>March — ₹12,000</t>
  </si>
  <si>
    <t>North — ₹323,000</t>
  </si>
  <si>
    <t xml:space="preserve">Total Profit               </t>
  </si>
  <si>
    <t xml:space="preserve">Profit Margin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</si>
</sst>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74" formatCode="[$₹-447]#,##0.00"/>
  </numFmts>
  <fonts count="7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6"/>
      <name val="Yu Gothic"/>
      <family val="2"/>
      <charset val="128"/>
    </font>
    <font>
      <b/>
      <sz val="14"/>
      <color rgb="FF000000"/>
      <name val="Aptos Narrow"/>
      <family val="2"/>
    </font>
    <font>
      <b/>
      <sz val="16"/>
      <color rgb="FF000000"/>
      <name val="Aptos Narrow"/>
      <family val="2"/>
    </font>
    <font>
      <b/>
      <sz val="18"/>
      <color rgb="FF000000"/>
      <name val="Aptos Narrow"/>
      <family val="2"/>
    </font>
    <font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6" fontId="1" fillId="0" borderId="1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  <xf numFmtId="174" fontId="4" fillId="6" borderId="0" xfId="0" applyNumberFormat="1" applyFont="1" applyFill="1" applyAlignment="1">
      <alignment horizontal="center"/>
    </xf>
    <xf numFmtId="174" fontId="4" fillId="3" borderId="0" xfId="0" applyNumberFormat="1" applyFont="1" applyFill="1" applyAlignment="1">
      <alignment horizontal="center"/>
    </xf>
  </cellXfs>
  <cellStyles count="1">
    <cellStyle name="Normal" xfId="0" builtinId="0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and Profit 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Dashboard!$A$10:$A$12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Dashboard!$B$10:$B$12</c:f>
              <c:numCache>
                <c:formatCode>General</c:formatCode>
                <c:ptCount val="3"/>
                <c:pt idx="0">
                  <c:v>198000</c:v>
                </c:pt>
                <c:pt idx="1">
                  <c:v>208200</c:v>
                </c:pt>
                <c:pt idx="2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D-B649-A03D-E964AD041310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Dashboard!$A$10:$A$12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Dashboard!$C$10:$C$12</c:f>
              <c:numCache>
                <c:formatCode>General</c:formatCode>
                <c:ptCount val="3"/>
                <c:pt idx="0">
                  <c:v>43500</c:v>
                </c:pt>
                <c:pt idx="1">
                  <c:v>43200</c:v>
                </c:pt>
                <c:pt idx="2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8D-B649-A03D-E964AD041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48480"/>
        <c:axId val="210550272"/>
      </c:lineChart>
      <c:catAx>
        <c:axId val="21054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0272"/>
        <c:crosses val="autoZero"/>
        <c:auto val="1"/>
        <c:lblAlgn val="ctr"/>
        <c:lblOffset val="100"/>
        <c:noMultiLvlLbl val="0"/>
      </c:catAx>
      <c:valAx>
        <c:axId val="2105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Dashboard!$H$9:$H$12</c:f>
              <c:strCache>
                <c:ptCount val="4"/>
                <c:pt idx="0">
                  <c:v>North 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Dashboard!$I$9:$I$12</c:f>
              <c:numCache>
                <c:formatCode>General</c:formatCode>
                <c:ptCount val="4"/>
                <c:pt idx="0">
                  <c:v>323000</c:v>
                </c:pt>
                <c:pt idx="1">
                  <c:v>32000</c:v>
                </c:pt>
                <c:pt idx="2">
                  <c:v>37500</c:v>
                </c:pt>
                <c:pt idx="3">
                  <c:v>25700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5-314D-9345-FFA88E1E54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03359104"/>
        <c:axId val="165980351"/>
      </c:barChart>
      <c:catAx>
        <c:axId val="110335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0351"/>
        <c:crosses val="autoZero"/>
        <c:auto val="1"/>
        <c:lblAlgn val="ctr"/>
        <c:lblOffset val="100"/>
        <c:noMultiLvlLbl val="0"/>
      </c:catAx>
      <c:valAx>
        <c:axId val="16598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3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49840</xdr:colOff>
      <xdr:row>14</xdr:row>
      <xdr:rowOff>57770</xdr:rowOff>
    </xdr:from>
    <xdr:to>
      <xdr:col>3</xdr:col>
      <xdr:colOff>312478</xdr:colOff>
      <xdr:row>27</xdr:row>
      <xdr:rowOff>147933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ADFAE-F24A-DEBD-D95F-06D783729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442911</xdr:colOff>
      <xdr:row>13</xdr:row>
      <xdr:rowOff>118586</xdr:rowOff>
    </xdr:from>
    <xdr:to>
      <xdr:col>10</xdr:col>
      <xdr:colOff>442915</xdr:colOff>
      <xdr:row>25</xdr:row>
      <xdr:rowOff>100014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1C08CA-8372-2784-66AB-5155A6BE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8FD30-6420-1F46-BC8B-40000062FB6A}" name="Table2" displayName="Table2" ref="H8:I12" totalsRowShown="0" headerRowDxfId="4" dataDxfId="3">
  <autoFilter ref="H8:I12" xr:uid="{82A8FD30-6420-1F46-BC8B-40000062FB6A}"/>
  <tableColumns count="2">
    <tableColumn id="1" xr3:uid="{E702FA74-B374-2C4E-8FC4-2C579141B0C1}" name="Region" dataDxfId="2"/>
    <tableColumn id="2" xr3:uid="{360DD42A-2E90-BB40-AF5D-886E9E09FD87}" name="Sales" dataDxfId="1">
      <calculatedColumnFormula array="1">SUMPRODUCT(--(TRIM(Sales_Data!$C$2:$C$11)=TRIM(H9)),Sales_Data!$J$2:$J$11)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C491CE-DCF3-ED44-8A1A-B327626E93A0}" name="Table3" displayName="Table3" ref="A9:C12" totalsRowShown="0" headerRowDxfId="0">
  <autoFilter ref="A9:C12" xr:uid="{E8C491CE-DCF3-ED44-8A1A-B327626E93A0}"/>
  <tableColumns count="3">
    <tableColumn id="1" xr3:uid="{58AE3AB2-AE00-6B47-A10E-3A87F7826D6F}" name="Month"/>
    <tableColumn id="2" xr3:uid="{6CFC5C20-37AD-3D43-88EF-778DBC2E7EA4}" name="Sales">
      <calculatedColumnFormula>SUMIFS(Sales_Data!$J$2:$J$11,Sales_Data!$A$2:$A$11,"&gt;="&amp;DATE(2026,ROW()-9,1),Sales_Data!$A$2:$A$11,"&lt;"&amp;DATE(2026,ROW()-8,1))</calculatedColumnFormula>
    </tableColumn>
    <tableColumn id="3" xr3:uid="{7C909080-9745-A84C-A448-BC8497FB72D1}" name="Profit">
      <calculatedColumnFormula>SUMIFS(Sales_Data!$K$2:$K$11,Sales_Data!$A$2:$A$11,"&gt;="&amp;DATE(2026,ROW()-9,1),Sales_Data!$A$2:$A$11,"&lt;"&amp;DATE(2026,ROW()-8,1))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9991-C486-43EF-B2F4-FEDC0B92CE41}">
  <dimension ref="A1:L11"/>
  <sheetViews>
    <sheetView topLeftCell="F1" workbookViewId="0">
      <selection activeCell="H36" sqref="H36"/>
    </sheetView>
  </sheetViews>
  <sheetFormatPr defaultRowHeight="15" x14ac:dyDescent="0.2"/>
  <cols>
    <col min="1" max="1" width="10.0859375" customWidth="1"/>
    <col min="2" max="3" width="10.625" bestFit="1" customWidth="1"/>
    <col min="4" max="4" width="10.89453125" customWidth="1"/>
    <col min="5" max="5" width="11.56640625" customWidth="1"/>
    <col min="6" max="6" width="20.04296875" customWidth="1"/>
    <col min="7" max="7" width="9.14453125" customWidth="1"/>
    <col min="12" max="12" width="11.16406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</v>
      </c>
      <c r="K1" s="1" t="s">
        <v>37</v>
      </c>
      <c r="L1" s="1" t="s">
        <v>38</v>
      </c>
    </row>
    <row r="2" spans="1:12" x14ac:dyDescent="0.2">
      <c r="A2" s="2">
        <v>46027</v>
      </c>
      <c r="B2" s="2" t="s">
        <v>9</v>
      </c>
      <c r="C2" s="2" t="s">
        <v>19</v>
      </c>
      <c r="D2" t="s">
        <v>23</v>
      </c>
      <c r="E2" t="s">
        <v>26</v>
      </c>
      <c r="F2" t="s">
        <v>34</v>
      </c>
      <c r="G2">
        <v>2</v>
      </c>
      <c r="H2">
        <v>55000</v>
      </c>
      <c r="I2">
        <v>90000</v>
      </c>
      <c r="J2">
        <f>G2*H2</f>
        <v>110000</v>
      </c>
      <c r="K2">
        <f>J2-I2</f>
        <v>20000</v>
      </c>
      <c r="L2" s="3">
        <f>K2/J2</f>
        <v>0.18181818181818182</v>
      </c>
    </row>
    <row r="3" spans="1:12" x14ac:dyDescent="0.2">
      <c r="A3" s="2">
        <v>46030</v>
      </c>
      <c r="B3" s="2" t="s">
        <v>10</v>
      </c>
      <c r="C3" t="s">
        <v>20</v>
      </c>
      <c r="D3" t="s">
        <v>24</v>
      </c>
      <c r="E3" t="s">
        <v>27</v>
      </c>
      <c r="F3" t="s">
        <v>35</v>
      </c>
      <c r="G3">
        <v>10</v>
      </c>
      <c r="H3">
        <v>800</v>
      </c>
      <c r="I3">
        <v>5500</v>
      </c>
      <c r="J3">
        <f t="shared" ref="J3:J11" si="0">G3*H3</f>
        <v>8000</v>
      </c>
      <c r="K3">
        <f t="shared" ref="K3:K11" si="1">J3-I3</f>
        <v>2500</v>
      </c>
      <c r="L3" s="3">
        <f t="shared" ref="L3:L10" si="2">K3/J3</f>
        <v>0.3125</v>
      </c>
    </row>
    <row r="4" spans="1:12" x14ac:dyDescent="0.2">
      <c r="A4" s="2">
        <v>46034</v>
      </c>
      <c r="B4" s="2" t="s">
        <v>11</v>
      </c>
      <c r="C4" t="s">
        <v>21</v>
      </c>
      <c r="D4" t="s">
        <v>23</v>
      </c>
      <c r="E4" t="s">
        <v>28</v>
      </c>
      <c r="F4" t="s">
        <v>34</v>
      </c>
      <c r="G4">
        <v>5</v>
      </c>
      <c r="H4">
        <v>2500</v>
      </c>
      <c r="I4">
        <v>9000</v>
      </c>
      <c r="J4">
        <f t="shared" si="0"/>
        <v>12500</v>
      </c>
      <c r="K4">
        <f t="shared" si="1"/>
        <v>3500</v>
      </c>
      <c r="L4" s="3">
        <f t="shared" si="2"/>
        <v>0.28000000000000003</v>
      </c>
    </row>
    <row r="5" spans="1:12" x14ac:dyDescent="0.2">
      <c r="A5" s="2">
        <v>46040</v>
      </c>
      <c r="B5" s="2" t="s">
        <v>12</v>
      </c>
      <c r="C5" t="s">
        <v>22</v>
      </c>
      <c r="D5" t="s">
        <v>25</v>
      </c>
      <c r="E5" t="s">
        <v>29</v>
      </c>
      <c r="F5" t="s">
        <v>35</v>
      </c>
      <c r="G5">
        <v>3</v>
      </c>
      <c r="H5">
        <v>6500</v>
      </c>
      <c r="I5">
        <v>15000</v>
      </c>
      <c r="J5">
        <f t="shared" si="0"/>
        <v>19500</v>
      </c>
      <c r="K5">
        <f t="shared" si="1"/>
        <v>4500</v>
      </c>
      <c r="L5" s="3">
        <f t="shared" si="2"/>
        <v>0.23076923076923078</v>
      </c>
    </row>
    <row r="6" spans="1:12" x14ac:dyDescent="0.2">
      <c r="A6" s="2">
        <v>46047</v>
      </c>
      <c r="B6" s="2" t="s">
        <v>13</v>
      </c>
      <c r="C6" s="2" t="s">
        <v>19</v>
      </c>
      <c r="D6" t="s">
        <v>23</v>
      </c>
      <c r="E6" t="s">
        <v>30</v>
      </c>
      <c r="F6" t="s">
        <v>34</v>
      </c>
      <c r="G6">
        <v>4</v>
      </c>
      <c r="H6">
        <v>12000</v>
      </c>
      <c r="I6">
        <v>35000</v>
      </c>
      <c r="J6">
        <f t="shared" si="0"/>
        <v>48000</v>
      </c>
      <c r="K6">
        <f t="shared" si="1"/>
        <v>13000</v>
      </c>
      <c r="L6" s="3">
        <f t="shared" si="2"/>
        <v>0.27083333333333331</v>
      </c>
    </row>
    <row r="7" spans="1:12" x14ac:dyDescent="0.2">
      <c r="A7" s="2">
        <v>46056</v>
      </c>
      <c r="B7" s="2" t="s">
        <v>14</v>
      </c>
      <c r="C7" t="s">
        <v>20</v>
      </c>
      <c r="D7" t="s">
        <v>23</v>
      </c>
      <c r="E7" t="s">
        <v>31</v>
      </c>
      <c r="F7" t="s">
        <v>34</v>
      </c>
      <c r="G7">
        <v>8</v>
      </c>
      <c r="H7">
        <v>1500</v>
      </c>
      <c r="I7">
        <v>8000</v>
      </c>
      <c r="J7">
        <f t="shared" si="0"/>
        <v>12000</v>
      </c>
      <c r="K7">
        <f t="shared" si="1"/>
        <v>4000</v>
      </c>
      <c r="L7" s="3">
        <f t="shared" si="2"/>
        <v>0.33333333333333331</v>
      </c>
    </row>
    <row r="8" spans="1:12" x14ac:dyDescent="0.2">
      <c r="A8" s="2">
        <v>46063</v>
      </c>
      <c r="B8" s="2" t="s">
        <v>15</v>
      </c>
      <c r="C8" t="s">
        <v>21</v>
      </c>
      <c r="D8" t="s">
        <v>24</v>
      </c>
      <c r="E8" t="s">
        <v>32</v>
      </c>
      <c r="F8" t="s">
        <v>35</v>
      </c>
      <c r="G8">
        <v>6</v>
      </c>
      <c r="H8">
        <v>2200</v>
      </c>
      <c r="I8">
        <v>9000</v>
      </c>
      <c r="J8">
        <f t="shared" si="0"/>
        <v>13200</v>
      </c>
      <c r="K8">
        <f t="shared" si="1"/>
        <v>4200</v>
      </c>
      <c r="L8" s="3">
        <f t="shared" si="2"/>
        <v>0.31818181818181818</v>
      </c>
    </row>
    <row r="9" spans="1:12" x14ac:dyDescent="0.2">
      <c r="A9" s="2">
        <v>46070</v>
      </c>
      <c r="B9" s="2" t="s">
        <v>16</v>
      </c>
      <c r="C9" t="s">
        <v>22</v>
      </c>
      <c r="D9" t="s">
        <v>25</v>
      </c>
      <c r="E9" t="s">
        <v>33</v>
      </c>
      <c r="F9" t="s">
        <v>34</v>
      </c>
      <c r="G9">
        <v>2</v>
      </c>
      <c r="H9">
        <v>9000</v>
      </c>
      <c r="I9">
        <v>13000</v>
      </c>
      <c r="J9">
        <f t="shared" si="0"/>
        <v>18000</v>
      </c>
      <c r="K9">
        <f t="shared" si="1"/>
        <v>5000</v>
      </c>
      <c r="L9" s="3">
        <f t="shared" si="2"/>
        <v>0.27777777777777779</v>
      </c>
    </row>
    <row r="10" spans="1:12" x14ac:dyDescent="0.2">
      <c r="A10" s="2">
        <v>46078</v>
      </c>
      <c r="B10" s="2" t="s">
        <v>17</v>
      </c>
      <c r="C10" s="2" t="s">
        <v>19</v>
      </c>
      <c r="D10" t="s">
        <v>23</v>
      </c>
      <c r="E10" t="s">
        <v>26</v>
      </c>
      <c r="F10" t="s">
        <v>35</v>
      </c>
      <c r="G10">
        <v>3</v>
      </c>
      <c r="H10">
        <v>55000</v>
      </c>
      <c r="I10">
        <v>135000</v>
      </c>
      <c r="J10">
        <f t="shared" si="0"/>
        <v>165000</v>
      </c>
      <c r="K10">
        <f t="shared" si="1"/>
        <v>30000</v>
      </c>
      <c r="L10" s="3">
        <f t="shared" si="2"/>
        <v>0.18181818181818182</v>
      </c>
    </row>
    <row r="11" spans="1:12" x14ac:dyDescent="0.2">
      <c r="A11" s="2">
        <v>46086</v>
      </c>
      <c r="B11" s="2" t="s">
        <v>18</v>
      </c>
      <c r="C11" t="s">
        <v>20</v>
      </c>
      <c r="D11" t="s">
        <v>24</v>
      </c>
      <c r="E11" t="s">
        <v>27</v>
      </c>
      <c r="F11" t="s">
        <v>34</v>
      </c>
      <c r="G11">
        <v>15</v>
      </c>
      <c r="H11">
        <v>800</v>
      </c>
      <c r="I11">
        <v>8000</v>
      </c>
      <c r="J11">
        <f t="shared" si="0"/>
        <v>12000</v>
      </c>
      <c r="K11">
        <f t="shared" si="1"/>
        <v>4000</v>
      </c>
      <c r="L11" s="3">
        <f t="shared" ref="L3:L11" si="3">K11/J11</f>
        <v>0.33333333333333331</v>
      </c>
    </row>
  </sheetData>
  <phoneticPr fontId="2" alignment="center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DCCF-585A-B445-956E-56B8C3C9E1FD}">
  <dimension ref="A1:I37"/>
  <sheetViews>
    <sheetView tabSelected="1" zoomScaleNormal="60" zoomScaleSheetLayoutView="100" workbookViewId="0">
      <selection activeCell="F33" sqref="F33"/>
    </sheetView>
  </sheetViews>
  <sheetFormatPr defaultRowHeight="15" x14ac:dyDescent="0.2"/>
  <cols>
    <col min="1" max="1" width="18.0234375" customWidth="1"/>
    <col min="2" max="2" width="10.22265625" customWidth="1"/>
    <col min="3" max="3" width="14.52734375" customWidth="1"/>
    <col min="5" max="5" width="12.64453125" customWidth="1"/>
    <col min="7" max="7" width="13.98828125" customWidth="1"/>
    <col min="8" max="8" width="10.89453125" bestFit="1" customWidth="1"/>
    <col min="9" max="9" width="9.953125" customWidth="1"/>
  </cols>
  <sheetData>
    <row r="1" spans="1:9" s="1" customFormat="1" ht="24.75" x14ac:dyDescent="0.35">
      <c r="A1" s="19" t="s">
        <v>39</v>
      </c>
      <c r="B1" s="19"/>
      <c r="C1" s="19"/>
      <c r="D1" s="19"/>
      <c r="E1" s="19"/>
    </row>
    <row r="3" spans="1:9" s="5" customFormat="1" ht="18.75" x14ac:dyDescent="0.25">
      <c r="A3" s="10" t="s">
        <v>40</v>
      </c>
      <c r="C3" s="11" t="s">
        <v>41</v>
      </c>
      <c r="E3" s="12" t="s">
        <v>38</v>
      </c>
      <c r="G3" s="13" t="s">
        <v>42</v>
      </c>
      <c r="I3" s="14" t="s">
        <v>43</v>
      </c>
    </row>
    <row r="4" spans="1:9" s="7" customFormat="1" ht="21" x14ac:dyDescent="0.3">
      <c r="A4" s="32">
        <f>SUM(Sales_Data!J2:J11)</f>
        <v>418200</v>
      </c>
      <c r="C4" s="31">
        <f>SUM(Sales_Data!K2:K11)</f>
        <v>90700</v>
      </c>
      <c r="E4" s="15">
        <f>SUM(Sales_Data!K2:K11)/SUM(Sales_Data!J2:J11)</f>
        <v>0.21688187470109996</v>
      </c>
      <c r="G4" s="8">
        <f>COUNTA(Sales_Data!B2:B11)</f>
        <v>10</v>
      </c>
      <c r="I4" s="9">
        <f>SUM(Sales_Data!G2:G11)</f>
        <v>58</v>
      </c>
    </row>
    <row r="6" spans="1:9" ht="24.75" x14ac:dyDescent="0.35">
      <c r="H6" s="17" t="s">
        <v>51</v>
      </c>
      <c r="I6" s="17"/>
    </row>
    <row r="7" spans="1:9" s="6" customFormat="1" ht="18.75" x14ac:dyDescent="0.25">
      <c r="A7" s="18" t="s">
        <v>44</v>
      </c>
      <c r="B7" s="18"/>
      <c r="C7" s="18"/>
    </row>
    <row r="8" spans="1:9" ht="18.75" x14ac:dyDescent="0.25">
      <c r="H8" s="5" t="s">
        <v>2</v>
      </c>
      <c r="I8" s="5" t="s">
        <v>36</v>
      </c>
    </row>
    <row r="9" spans="1:9" s="1" customFormat="1" ht="18.75" x14ac:dyDescent="0.25">
      <c r="A9" s="1" t="s">
        <v>45</v>
      </c>
      <c r="B9" s="1" t="s">
        <v>36</v>
      </c>
      <c r="C9" s="1" t="s">
        <v>37</v>
      </c>
      <c r="H9" s="16" t="s">
        <v>49</v>
      </c>
      <c r="I9" s="16" cm="1">
        <f t="array" ref="I9">SUMPRODUCT(--(TRIM(Sales_Data!$C$2:$C$11)=TRIM(H9)),Sales_Data!$J$2:$J$11)</f>
        <v>323000</v>
      </c>
    </row>
    <row r="10" spans="1:9" ht="18.75" x14ac:dyDescent="0.25">
      <c r="A10" t="s">
        <v>46</v>
      </c>
      <c r="B10">
        <f>SUMIFS(Sales_Data!$J$2:$J$11,Sales_Data!$A$2:$A$11,"&gt;="&amp;DATE(2026,ROW()-9,1),Sales_Data!$A$2:$A$11,"&lt;"&amp;DATE(2026,ROW()-8,1))</f>
        <v>198000</v>
      </c>
      <c r="C10">
        <f>SUMIFS(Sales_Data!$K$2:$K$11,Sales_Data!$A$2:$A$11,"&gt;="&amp;DATE(2026,ROW()-9,1),Sales_Data!$A$2:$A$11,"&lt;"&amp;DATE(2026,ROW()-8,1))</f>
        <v>43500</v>
      </c>
      <c r="H10" s="16" t="s">
        <v>20</v>
      </c>
      <c r="I10" s="16" cm="1">
        <f t="array" ref="I10">SUMPRODUCT(--(TRIM(Sales_Data!$C$2:$C$11)=TRIM(H10)),Sales_Data!$J$2:$J$11)</f>
        <v>32000</v>
      </c>
    </row>
    <row r="11" spans="1:9" ht="18.75" x14ac:dyDescent="0.25">
      <c r="A11" t="s">
        <v>47</v>
      </c>
      <c r="B11">
        <f>SUMIFS(Sales_Data!$J$2:$J$11,Sales_Data!$A$2:$A$11,"&gt;="&amp;DATE(2026,ROW()-9,1),Sales_Data!$A$2:$A$11,"&lt;"&amp;DATE(2026,ROW()-8,1))</f>
        <v>208200</v>
      </c>
      <c r="C11">
        <f>SUMIFS(Sales_Data!$K$2:$K$11,Sales_Data!$A$2:$A$11,"&gt;="&amp;DATE(2026,ROW()-9,1),Sales_Data!$A$2:$A$11,"&lt;"&amp;DATE(2026,ROW()-8,1))</f>
        <v>43200</v>
      </c>
      <c r="H11" s="16" t="s">
        <v>22</v>
      </c>
      <c r="I11" s="16" cm="1">
        <f t="array" ref="I11">SUMPRODUCT(--(TRIM(Sales_Data!$C$2:$C$11)=TRIM(H11)),Sales_Data!$J$2:$J$11)</f>
        <v>37500</v>
      </c>
    </row>
    <row r="12" spans="1:9" ht="18.75" x14ac:dyDescent="0.25">
      <c r="A12" t="s">
        <v>48</v>
      </c>
      <c r="B12">
        <f>SUMIFS(Sales_Data!$J$2:$J$11,Sales_Data!$A$2:$A$11,"&gt;="&amp;DATE(2026,ROW()-9,1),Sales_Data!$A$2:$A$11,"&lt;"&amp;DATE(2026,ROW()-8,1))</f>
        <v>12000</v>
      </c>
      <c r="C12">
        <f>SUMIFS(Sales_Data!$K$2:$K$11,Sales_Data!$A$2:$A$11,"&gt;="&amp;DATE(2026,ROW()-9,1),Sales_Data!$A$2:$A$11,"&lt;"&amp;DATE(2026,ROW()-8,1))</f>
        <v>4000</v>
      </c>
      <c r="H12" s="16" t="s">
        <v>50</v>
      </c>
      <c r="I12" s="16" cm="1">
        <f t="array" ref="I12">SUMPRODUCT(--(TRIM(Sales_Data!$C$2:$C$11)=TRIM(H12)),Sales_Data!$J$2:$J$11)</f>
        <v>25700</v>
      </c>
    </row>
    <row r="29" spans="1:3" s="4" customFormat="1" x14ac:dyDescent="0.2"/>
    <row r="32" spans="1:3" ht="24.75" x14ac:dyDescent="0.35">
      <c r="A32" s="20" t="s">
        <v>52</v>
      </c>
      <c r="B32" s="21"/>
      <c r="C32" s="22"/>
    </row>
    <row r="33" spans="1:3" x14ac:dyDescent="0.2">
      <c r="A33" s="23" t="s">
        <v>53</v>
      </c>
      <c r="B33" s="25" t="s">
        <v>56</v>
      </c>
      <c r="C33" s="26"/>
    </row>
    <row r="34" spans="1:3" x14ac:dyDescent="0.2">
      <c r="A34" s="23" t="s">
        <v>54</v>
      </c>
      <c r="B34" s="25" t="s">
        <v>57</v>
      </c>
      <c r="C34" s="26"/>
    </row>
    <row r="35" spans="1:3" x14ac:dyDescent="0.2">
      <c r="A35" s="23" t="s">
        <v>55</v>
      </c>
      <c r="B35" s="25" t="s">
        <v>58</v>
      </c>
      <c r="C35" s="26"/>
    </row>
    <row r="36" spans="1:3" x14ac:dyDescent="0.2">
      <c r="A36" s="23" t="s">
        <v>59</v>
      </c>
      <c r="B36" s="27">
        <v>90700</v>
      </c>
      <c r="C36" s="28"/>
    </row>
    <row r="37" spans="1:3" x14ac:dyDescent="0.2">
      <c r="A37" s="24" t="s">
        <v>60</v>
      </c>
      <c r="B37" s="29">
        <v>0.21690000000000001</v>
      </c>
      <c r="C37" s="30"/>
    </row>
  </sheetData>
  <mergeCells count="8">
    <mergeCell ref="A7:C7"/>
    <mergeCell ref="A1:E1"/>
    <mergeCell ref="A32:B32"/>
    <mergeCell ref="B33:C33"/>
    <mergeCell ref="B34:C34"/>
    <mergeCell ref="B35:C35"/>
    <mergeCell ref="B36:C36"/>
    <mergeCell ref="B37:C37"/>
  </mergeCells>
  <phoneticPr fontId="2" alignment="center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Lakhani</dc:creator>
  <cp:lastModifiedBy>X</cp:lastModifiedBy>
  <dcterms:created xsi:type="dcterms:W3CDTF">2026-09-30T20:21:04Z</dcterms:created>
  <dcterms:modified xsi:type="dcterms:W3CDTF">2026-09-30T15:30:07Z</dcterms:modified>
</cp:coreProperties>
</file>